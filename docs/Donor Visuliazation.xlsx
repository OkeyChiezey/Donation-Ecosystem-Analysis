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ezey\Downloads\"/>
    </mc:Choice>
  </mc:AlternateContent>
  <xr:revisionPtr revIDLastSave="0" documentId="8_{D0D07B7F-2962-4542-BE7D-778D6586149D}" xr6:coauthVersionLast="47" xr6:coauthVersionMax="47" xr10:uidLastSave="{00000000-0000-0000-0000-000000000000}"/>
  <bookViews>
    <workbookView xWindow="-120" yWindow="-120" windowWidth="29040" windowHeight="15720" xr2:uid="{2EB6C5EB-A8CA-4D2B-9266-FEAE8C2CF197}"/>
  </bookViews>
  <sheets>
    <sheet name="The Segmentation Export" sheetId="1" r:id="rId1"/>
  </sheets>
  <calcPr calcId="0"/>
</workbook>
</file>

<file path=xl/calcChain.xml><?xml version="1.0" encoding="utf-8"?>
<calcChain xmlns="http://schemas.openxmlformats.org/spreadsheetml/2006/main">
  <c r="D40" i="1" l="1"/>
  <c r="D39" i="1"/>
</calcChain>
</file>

<file path=xl/sharedStrings.xml><?xml version="1.0" encoding="utf-8"?>
<sst xmlns="http://schemas.openxmlformats.org/spreadsheetml/2006/main" count="34" uniqueCount="34">
  <si>
    <t>donor_name</t>
  </si>
  <si>
    <t>individual_ltv</t>
  </si>
  <si>
    <t>org_average_ltv</t>
  </si>
  <si>
    <t>Mark Smyth</t>
  </si>
  <si>
    <t>Corky Ferris</t>
  </si>
  <si>
    <t>Terry B</t>
  </si>
  <si>
    <t>Christine Urban</t>
  </si>
  <si>
    <t>Nina Kaiser</t>
  </si>
  <si>
    <t>Claudia Vides</t>
  </si>
  <si>
    <t>Joan Luk</t>
  </si>
  <si>
    <t>Sara Aumann</t>
  </si>
  <si>
    <t>Vinod Khagram</t>
  </si>
  <si>
    <t>Shu Chin Hsu</t>
  </si>
  <si>
    <t>Karoline Sahlmüller</t>
  </si>
  <si>
    <t>Akshaya Dwivedi</t>
  </si>
  <si>
    <t>Joanne Tachibana</t>
  </si>
  <si>
    <t>Dennis Chan</t>
  </si>
  <si>
    <t>Gary McFarlane</t>
  </si>
  <si>
    <t>donor_cohort</t>
  </si>
  <si>
    <t>average_gift_amount</t>
  </si>
  <si>
    <t>One-Time</t>
  </si>
  <si>
    <t>Monthly</t>
  </si>
  <si>
    <t>campaign_name</t>
  </si>
  <si>
    <t>actual_raised</t>
  </si>
  <si>
    <t>goal_amount</t>
  </si>
  <si>
    <t>percent_of_goal</t>
  </si>
  <si>
    <t>General Fund</t>
  </si>
  <si>
    <t>Uganda Mattresses</t>
  </si>
  <si>
    <t>donor_segment</t>
  </si>
  <si>
    <t>total_donations</t>
  </si>
  <si>
    <t>segment_total_revenue</t>
  </si>
  <si>
    <t>Mid-Tier</t>
  </si>
  <si>
    <t>Small-Dollar</t>
  </si>
  <si>
    <t>Major Donor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</si>
</sst>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CA"/>
              <a:t>Monthly vs One-Time Donors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Segmentation Export'!$A$21</c:f>
              <c:strCache>
                <c:ptCount val="1"/>
                <c:pt idx="0">
                  <c:v>One-Time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'The Segmentation Export'!$B$20</c:f>
              <c:strCache>
                <c:ptCount val="1"/>
                <c:pt idx="0">
                  <c:v>average_gift_amount</c:v>
                </c:pt>
              </c:strCache>
            </c:strRef>
          </c:cat>
          <c:val>
            <c:numRef>
              <c:f>'The Segmentation Export'!$B$21</c:f>
              <c:numCache>
                <c:formatCode>General</c:formatCode>
                <c:ptCount val="1"/>
                <c:pt idx="0">
                  <c:v>86.416301675977607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9-4B8B-BDE6-94C6ADD2C706}"/>
            </c:ext>
          </c:extLst>
        </c:ser>
        <c:ser>
          <c:idx val="1"/>
          <c:order val="1"/>
          <c:tx>
            <c:strRef>
              <c:f>'The Segmentation Export'!$A$22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'The Segmentation Export'!$B$20</c:f>
              <c:strCache>
                <c:ptCount val="1"/>
                <c:pt idx="0">
                  <c:v>average_gift_amount</c:v>
                </c:pt>
              </c:strCache>
            </c:strRef>
          </c:cat>
          <c:val>
            <c:numRef>
              <c:f>'The Segmentation Export'!$B$22</c:f>
              <c:numCache>
                <c:formatCode>General</c:formatCode>
                <c:ptCount val="1"/>
                <c:pt idx="0">
                  <c:v>96.648627264061005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9-4B8B-BDE6-94C6ADD2C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0"/>
        <c:axId val="868691344"/>
        <c:axId val="868692424"/>
      </c:barChart>
      <c:catAx>
        <c:axId val="86869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92424"/>
        <c:crosses val="autoZero"/>
        <c:auto val="1"/>
        <c:lblAlgn val="ctr"/>
        <c:lblOffset val="100"/>
        <c:noMultiLvlLbl val="0"/>
      </c:catAx>
      <c:valAx>
        <c:axId val="86869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9134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Goal Percentage</a:t>
            </a:r>
          </a:p>
        </c:rich>
      </c:tx>
      <c:layout>
        <c:manualLayout>
          <c:xMode val="edge"/>
          <c:yMode val="edge"/>
          <c:x val="0.36227077865266843"/>
          <c:y val="0.523148148148148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055555555555557"/>
          <c:y val="4.1666666666666664E-2"/>
          <c:w val="0.53888888888888886"/>
          <c:h val="0.898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pattFill prst="pct20">
                <a:fgClr>
                  <a:schemeClr val="tx2"/>
                </a:fgClr>
                <a:bgClr>
                  <a:schemeClr val="bg1"/>
                </a:bgClr>
              </a:patt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B4B-4478-97FD-7F0515D5DDB8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4B-4478-97FD-7F0515D5DDB8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4B-4478-97FD-7F0515D5DDB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356DEFF-0A14-4C39-8403-A1E07287D739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B4B-4478-97FD-7F0515D5DDB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4B-4478-97FD-7F0515D5DD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'The Segmentation Export'!$D$37:$D$39</c:f>
              <c:numCache>
                <c:formatCode>General</c:formatCode>
                <c:ptCount val="3"/>
                <c:pt idx="0">
                  <c:v>51.366019999999999</c:v>
                </c:pt>
                <c:pt idx="1">
                  <c:v>143.11410000000001</c:v>
                </c:pt>
                <c:pt idx="2">
                  <c:v>51.9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B-4478-97FD-7F0515D5DD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Live</a:t>
            </a:r>
            <a:r>
              <a:rPr lang="en-CA" baseline="0"/>
              <a:t>time Value Benchmark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'The Segmentation Export'!$B$56</c:f>
              <c:strCache>
                <c:ptCount val="1"/>
                <c:pt idx="0">
                  <c:v>individual_ltv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'The Segmentation Export'!$A$57:$A$71</c:f>
              <c:strCache>
                <c:ptCount val="15"/>
                <c:pt idx="0">
                  <c:v>Mark Smyth</c:v>
                </c:pt>
                <c:pt idx="1">
                  <c:v>Corky Ferris</c:v>
                </c:pt>
                <c:pt idx="2">
                  <c:v>Terry B</c:v>
                </c:pt>
                <c:pt idx="3">
                  <c:v>Christine Urban</c:v>
                </c:pt>
                <c:pt idx="4">
                  <c:v>Nina Kaiser</c:v>
                </c:pt>
                <c:pt idx="5">
                  <c:v>Claudia Vides</c:v>
                </c:pt>
                <c:pt idx="6">
                  <c:v>Joan Luk</c:v>
                </c:pt>
                <c:pt idx="7">
                  <c:v>Sara Aumann</c:v>
                </c:pt>
                <c:pt idx="8">
                  <c:v>Vinod Khagram</c:v>
                </c:pt>
                <c:pt idx="9">
                  <c:v>Shu Chin Hsu</c:v>
                </c:pt>
                <c:pt idx="10">
                  <c:v>Karoline Sahlmüller</c:v>
                </c:pt>
                <c:pt idx="11">
                  <c:v>Akshaya Dwivedi</c:v>
                </c:pt>
                <c:pt idx="12">
                  <c:v>Joanne Tachibana</c:v>
                </c:pt>
                <c:pt idx="13">
                  <c:v>Dennis Chan</c:v>
                </c:pt>
                <c:pt idx="14">
                  <c:v>Gary McFarlane</c:v>
                </c:pt>
              </c:strCache>
            </c:strRef>
          </c:cat>
          <c:val>
            <c:numRef>
              <c:f>'The Segmentation Export'!$B$57:$B$71</c:f>
              <c:numCache>
                <c:formatCode>General</c:formatCode>
                <c:ptCount val="15"/>
                <c:pt idx="0">
                  <c:v>6584.6</c:v>
                </c:pt>
                <c:pt idx="1">
                  <c:v>6069.6</c:v>
                </c:pt>
                <c:pt idx="2">
                  <c:v>1782</c:v>
                </c:pt>
                <c:pt idx="3">
                  <c:v>1520</c:v>
                </c:pt>
                <c:pt idx="4">
                  <c:v>1467.42</c:v>
                </c:pt>
                <c:pt idx="5">
                  <c:v>1344.6</c:v>
                </c:pt>
                <c:pt idx="6">
                  <c:v>1285.2</c:v>
                </c:pt>
                <c:pt idx="7">
                  <c:v>1223.6400000000001</c:v>
                </c:pt>
                <c:pt idx="8">
                  <c:v>1194.1400000000001</c:v>
                </c:pt>
                <c:pt idx="9">
                  <c:v>1149.5999999999999</c:v>
                </c:pt>
                <c:pt idx="10">
                  <c:v>1130.19</c:v>
                </c:pt>
                <c:pt idx="11">
                  <c:v>1128.5999999999999</c:v>
                </c:pt>
                <c:pt idx="12">
                  <c:v>1123.2</c:v>
                </c:pt>
                <c:pt idx="13">
                  <c:v>1120.5999999999999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8-477E-A1B3-5517A3634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9994488"/>
        <c:axId val="799995568"/>
      </c:barChart>
      <c:lineChart>
        <c:grouping val="standard"/>
        <c:varyColors val="0"/>
        <c:ser>
          <c:idx val="1"/>
          <c:order val="1"/>
          <c:tx>
            <c:strRef>
              <c:f>'The Segmentation Export'!$C$56</c:f>
              <c:strCache>
                <c:ptCount val="1"/>
                <c:pt idx="0">
                  <c:v>org_average_ltv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'The Segmentation Export'!$A$57:$A$71</c:f>
              <c:strCache>
                <c:ptCount val="15"/>
                <c:pt idx="0">
                  <c:v>Mark Smyth</c:v>
                </c:pt>
                <c:pt idx="1">
                  <c:v>Corky Ferris</c:v>
                </c:pt>
                <c:pt idx="2">
                  <c:v>Terry B</c:v>
                </c:pt>
                <c:pt idx="3">
                  <c:v>Christine Urban</c:v>
                </c:pt>
                <c:pt idx="4">
                  <c:v>Nina Kaiser</c:v>
                </c:pt>
                <c:pt idx="5">
                  <c:v>Claudia Vides</c:v>
                </c:pt>
                <c:pt idx="6">
                  <c:v>Joan Luk</c:v>
                </c:pt>
                <c:pt idx="7">
                  <c:v>Sara Aumann</c:v>
                </c:pt>
                <c:pt idx="8">
                  <c:v>Vinod Khagram</c:v>
                </c:pt>
                <c:pt idx="9">
                  <c:v>Shu Chin Hsu</c:v>
                </c:pt>
                <c:pt idx="10">
                  <c:v>Karoline Sahlmüller</c:v>
                </c:pt>
                <c:pt idx="11">
                  <c:v>Akshaya Dwivedi</c:v>
                </c:pt>
                <c:pt idx="12">
                  <c:v>Joanne Tachibana</c:v>
                </c:pt>
                <c:pt idx="13">
                  <c:v>Dennis Chan</c:v>
                </c:pt>
                <c:pt idx="14">
                  <c:v>Gary McFarlane</c:v>
                </c:pt>
              </c:strCache>
            </c:strRef>
          </c:cat>
          <c:val>
            <c:numRef>
              <c:f>'The Segmentation Export'!$C$57:$C$71</c:f>
              <c:numCache>
                <c:formatCode>General</c:formatCode>
                <c:ptCount val="15"/>
                <c:pt idx="0">
                  <c:v>228.25925925925901</c:v>
                </c:pt>
                <c:pt idx="1">
                  <c:v>228.25925925925901</c:v>
                </c:pt>
                <c:pt idx="2">
                  <c:v>228.25925925925901</c:v>
                </c:pt>
                <c:pt idx="3">
                  <c:v>228.25925925925901</c:v>
                </c:pt>
                <c:pt idx="4">
                  <c:v>228.25925925925901</c:v>
                </c:pt>
                <c:pt idx="5">
                  <c:v>228.25925925925901</c:v>
                </c:pt>
                <c:pt idx="6">
                  <c:v>228.25925925925901</c:v>
                </c:pt>
                <c:pt idx="7">
                  <c:v>228.25925925925901</c:v>
                </c:pt>
                <c:pt idx="8">
                  <c:v>228.25925925925901</c:v>
                </c:pt>
                <c:pt idx="9">
                  <c:v>228.25925925925901</c:v>
                </c:pt>
                <c:pt idx="10">
                  <c:v>228.25925925925901</c:v>
                </c:pt>
                <c:pt idx="11">
                  <c:v>228.25925925925901</c:v>
                </c:pt>
                <c:pt idx="12">
                  <c:v>228.25925925925901</c:v>
                </c:pt>
                <c:pt idx="13">
                  <c:v>228.25925925925901</c:v>
                </c:pt>
                <c:pt idx="14">
                  <c:v>228.25925925925901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8-477E-A1B3-5517A3634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169824"/>
        <c:axId val="865172704"/>
      </c:lineChart>
      <c:catAx>
        <c:axId val="799994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95568"/>
        <c:crosses val="autoZero"/>
        <c:auto val="1"/>
        <c:lblAlgn val="ctr"/>
        <c:lblOffset val="100"/>
        <c:noMultiLvlLbl val="0"/>
      </c:catAx>
      <c:valAx>
        <c:axId val="79999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94488"/>
        <c:crosses val="autoZero"/>
        <c:crossBetween val="between"/>
      </c:valAx>
      <c:valAx>
        <c:axId val="8651727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169824"/>
        <c:crosses val="max"/>
        <c:crossBetween val="between"/>
      </c:valAx>
      <c:catAx>
        <c:axId val="865169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51727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Donor</a:t>
            </a:r>
            <a:r>
              <a:rPr lang="en-CA" baseline="0"/>
              <a:t> Segmentation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'The Segmentation Export'!$B$1</c:f>
              <c:strCache>
                <c:ptCount val="1"/>
                <c:pt idx="0">
                  <c:v>total_donations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'The Segmentation Export'!$A$2:$A$4</c:f>
              <c:strCache>
                <c:ptCount val="3"/>
                <c:pt idx="0">
                  <c:v>Mid-Tier</c:v>
                </c:pt>
                <c:pt idx="1">
                  <c:v>Small-Dollar</c:v>
                </c:pt>
                <c:pt idx="2">
                  <c:v>Major Donor</c:v>
                </c:pt>
              </c:strCache>
            </c:strRef>
          </c:cat>
          <c:val>
            <c:numRef>
              <c:f>'The Segmentation Export'!$B$2:$B$4</c:f>
              <c:numCache>
                <c:formatCode>General</c:formatCode>
                <c:ptCount val="3"/>
                <c:pt idx="0">
                  <c:v>381</c:v>
                </c:pt>
                <c:pt idx="1">
                  <c:v>1533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5-4C86-B749-4EA0681CB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</xdr:colOff>
      <xdr:row>13</xdr:row>
      <xdr:rowOff>166687</xdr:rowOff>
    </xdr:from>
    <xdr:to>
      <xdr:col>11</xdr:col>
      <xdr:colOff>338137</xdr:colOff>
      <xdr:row>28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462AFB-3659-80AC-53C2-97E87B6E3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128587</xdr:colOff>
      <xdr:row>30</xdr:row>
      <xdr:rowOff>119062</xdr:rowOff>
    </xdr:from>
    <xdr:to>
      <xdr:col>11</xdr:col>
      <xdr:colOff>276225</xdr:colOff>
      <xdr:row>43</xdr:row>
      <xdr:rowOff>66675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5A91A02-E2EC-C2ED-E9CB-0F07C036D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</xdr:colOff>
      <xdr:row>54</xdr:row>
      <xdr:rowOff>171450</xdr:rowOff>
    </xdr:from>
    <xdr:to>
      <xdr:col>12</xdr:col>
      <xdr:colOff>195262</xdr:colOff>
      <xdr:row>70</xdr:row>
      <xdr:rowOff>100012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CA3DB4D-792A-6AD2-F3B9-0C4EB83C1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490537</xdr:colOff>
      <xdr:row>0</xdr:row>
      <xdr:rowOff>0</xdr:rowOff>
    </xdr:from>
    <xdr:to>
      <xdr:col>11</xdr:col>
      <xdr:colOff>95250</xdr:colOff>
      <xdr:row>12</xdr:row>
      <xdr:rowOff>90488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8ECD355-EA04-A4B7-F882-657B701AC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38FE-DD23-4A27-AEFE-D27501E2E539}">
  <dimension ref="A1:D71"/>
  <sheetViews>
    <sheetView tabSelected="1" workbookViewId="0">
      <selection activeCell="J52" sqref="J52"/>
    </sheetView>
  </sheetViews>
  <sheetFormatPr defaultRowHeight="15" x14ac:dyDescent="0.25"/>
  <cols>
    <col min="1" max="1" width="56.42578125" bestFit="1" customWidth="1"/>
    <col min="2" max="2" width="20.140625" bestFit="1" customWidth="1"/>
    <col min="3" max="3" width="15.28515625" bestFit="1" customWidth="1"/>
    <col min="4" max="4" width="15.5703125" bestFit="1" customWidth="1"/>
  </cols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 t="s">
        <v>31</v>
      </c>
      <c r="B2">
        <v>381</v>
      </c>
      <c r="C2">
        <v>99635.93</v>
      </c>
    </row>
    <row r="3" spans="1:3" x14ac:dyDescent="0.25">
      <c r="A3" t="s">
        <v>32</v>
      </c>
      <c r="B3">
        <v>1533</v>
      </c>
      <c r="C3">
        <v>52386.52</v>
      </c>
    </row>
    <row r="4" spans="1:3" x14ac:dyDescent="0.25">
      <c r="A4" t="s">
        <v>33</v>
      </c>
      <c r="B4">
        <v>30</v>
      </c>
      <c r="C4">
        <v>26704.55</v>
      </c>
    </row>
    <row r="20" spans="1:2" x14ac:dyDescent="0.25">
      <c r="A20" t="s">
        <v>18</v>
      </c>
      <c r="B20" t="s">
        <v>19</v>
      </c>
    </row>
    <row r="21" spans="1:2" x14ac:dyDescent="0.25">
      <c r="A21" t="s">
        <v>20</v>
      </c>
      <c r="B21">
        <v>86.416301675977607</v>
      </c>
    </row>
    <row r="22" spans="1:2" x14ac:dyDescent="0.25">
      <c r="A22" t="s">
        <v>21</v>
      </c>
      <c r="B22">
        <v>96.648627264061005</v>
      </c>
    </row>
    <row r="36" spans="1:4" x14ac:dyDescent="0.25">
      <c r="A36" t="s">
        <v>22</v>
      </c>
      <c r="B36" t="s">
        <v>23</v>
      </c>
      <c r="C36" t="s">
        <v>24</v>
      </c>
      <c r="D36" t="s">
        <v>25</v>
      </c>
    </row>
    <row r="37" spans="1:4" x14ac:dyDescent="0.25">
      <c r="A37" t="s">
        <v>26</v>
      </c>
      <c r="B37">
        <v>25683.01</v>
      </c>
      <c r="C37">
        <v>50000</v>
      </c>
      <c r="D37" s="2">
        <v>51.366019999999999</v>
      </c>
    </row>
    <row r="38" spans="1:4" x14ac:dyDescent="0.25">
      <c r="A38" t="s">
        <v>27</v>
      </c>
      <c r="B38">
        <v>14311.41</v>
      </c>
      <c r="C38">
        <v>10000</v>
      </c>
      <c r="D38" s="2">
        <v>143.11410000000001</v>
      </c>
    </row>
    <row r="39" spans="1:4" x14ac:dyDescent="0.25">
      <c r="D39">
        <f>51.9</f>
        <v>51.9</v>
      </c>
    </row>
    <row r="40" spans="1:4" x14ac:dyDescent="0.25">
      <c r="D40" s="1">
        <f>D39*0.01</f>
        <v>0.51900000000000002</v>
      </c>
    </row>
    <row r="56" spans="1:3" x14ac:dyDescent="0.25">
      <c r="A56" t="s">
        <v>0</v>
      </c>
      <c r="B56" t="s">
        <v>1</v>
      </c>
      <c r="C56" t="s">
        <v>2</v>
      </c>
    </row>
    <row r="57" spans="1:3" x14ac:dyDescent="0.25">
      <c r="A57" t="s">
        <v>3</v>
      </c>
      <c r="B57">
        <v>6584.6</v>
      </c>
      <c r="C57">
        <v>228.25925925925901</v>
      </c>
    </row>
    <row r="58" spans="1:3" x14ac:dyDescent="0.25">
      <c r="A58" t="s">
        <v>4</v>
      </c>
      <c r="B58">
        <v>6069.6</v>
      </c>
      <c r="C58">
        <v>228.25925925925901</v>
      </c>
    </row>
    <row r="59" spans="1:3" x14ac:dyDescent="0.25">
      <c r="A59" t="s">
        <v>5</v>
      </c>
      <c r="B59">
        <v>1782</v>
      </c>
      <c r="C59">
        <v>228.25925925925901</v>
      </c>
    </row>
    <row r="60" spans="1:3" x14ac:dyDescent="0.25">
      <c r="A60" t="s">
        <v>6</v>
      </c>
      <c r="B60">
        <v>1520</v>
      </c>
      <c r="C60">
        <v>228.25925925925901</v>
      </c>
    </row>
    <row r="61" spans="1:3" x14ac:dyDescent="0.25">
      <c r="A61" t="s">
        <v>7</v>
      </c>
      <c r="B61">
        <v>1467.42</v>
      </c>
      <c r="C61">
        <v>228.25925925925901</v>
      </c>
    </row>
    <row r="62" spans="1:3" x14ac:dyDescent="0.25">
      <c r="A62" t="s">
        <v>8</v>
      </c>
      <c r="B62">
        <v>1344.6</v>
      </c>
      <c r="C62">
        <v>228.25925925925901</v>
      </c>
    </row>
    <row r="63" spans="1:3" x14ac:dyDescent="0.25">
      <c r="A63" t="s">
        <v>9</v>
      </c>
      <c r="B63">
        <v>1285.2</v>
      </c>
      <c r="C63">
        <v>228.25925925925901</v>
      </c>
    </row>
    <row r="64" spans="1:3" x14ac:dyDescent="0.25">
      <c r="A64" t="s">
        <v>10</v>
      </c>
      <c r="B64">
        <v>1223.6400000000001</v>
      </c>
      <c r="C64">
        <v>228.25925925925901</v>
      </c>
    </row>
    <row r="65" spans="1:3" x14ac:dyDescent="0.25">
      <c r="A65" t="s">
        <v>11</v>
      </c>
      <c r="B65">
        <v>1194.1400000000001</v>
      </c>
      <c r="C65">
        <v>228.25925925925901</v>
      </c>
    </row>
    <row r="66" spans="1:3" x14ac:dyDescent="0.25">
      <c r="A66" t="s">
        <v>12</v>
      </c>
      <c r="B66">
        <v>1149.5999999999999</v>
      </c>
      <c r="C66">
        <v>228.25925925925901</v>
      </c>
    </row>
    <row r="67" spans="1:3" x14ac:dyDescent="0.25">
      <c r="A67" t="s">
        <v>13</v>
      </c>
      <c r="B67">
        <v>1130.19</v>
      </c>
      <c r="C67">
        <v>228.25925925925901</v>
      </c>
    </row>
    <row r="68" spans="1:3" x14ac:dyDescent="0.25">
      <c r="A68" t="s">
        <v>14</v>
      </c>
      <c r="B68">
        <v>1128.5999999999999</v>
      </c>
      <c r="C68">
        <v>228.25925925925901</v>
      </c>
    </row>
    <row r="69" spans="1:3" x14ac:dyDescent="0.25">
      <c r="A69" t="s">
        <v>15</v>
      </c>
      <c r="B69">
        <v>1123.2</v>
      </c>
      <c r="C69">
        <v>228.25925925925901</v>
      </c>
    </row>
    <row r="70" spans="1:3" x14ac:dyDescent="0.25">
      <c r="A70" t="s">
        <v>16</v>
      </c>
      <c r="B70">
        <v>1120.5999999999999</v>
      </c>
      <c r="C70">
        <v>228.25925925925901</v>
      </c>
    </row>
    <row r="71" spans="1:3" x14ac:dyDescent="0.25">
      <c r="A71" t="s">
        <v>17</v>
      </c>
      <c r="B71">
        <v>1080</v>
      </c>
      <c r="C71">
        <v>228.25925925925901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Segmentation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Chiezey</dc:creator>
  <cp:lastModifiedBy>Okey Chiezey</cp:lastModifiedBy>
  <dcterms:created xsi:type="dcterms:W3CDTF">2026-02-10T23:46:46Z</dcterms:created>
  <dcterms:modified xsi:type="dcterms:W3CDTF">2026-02-12T03:46:34Z</dcterms:modified>
</cp:coreProperties>
</file>